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00" windowHeight="12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<sst xmlns="http://schemas.openxmlformats.org/spreadsheetml/2006/main" count="284" uniqueCount="274">
  <si>
    <t>序号</t>
  </si>
  <si>
    <t>功能类别</t>
  </si>
  <si>
    <t>功能模块</t>
  </si>
  <si>
    <t>功能描述</t>
  </si>
  <si>
    <t>人月2</t>
  </si>
  <si>
    <t>单价（万元）</t>
  </si>
  <si>
    <t>金额（万元）</t>
  </si>
  <si>
    <t>阶段</t>
  </si>
  <si>
    <t>基础支撑</t>
  </si>
  <si>
    <t>基础数据配置</t>
  </si>
  <si>
    <t>数据字典</t>
  </si>
  <si>
    <t>产品类别、单位、区域、运输方式、燃料类型等字典维护</t>
  </si>
  <si>
    <t>系统参数配置</t>
  </si>
  <si>
    <t>核算规则、默认因子、报告模板、存储与消息配置</t>
  </si>
  <si>
    <t>文件管理</t>
  </si>
  <si>
    <t>单据上传、预览、版本管理、格式校验</t>
  </si>
  <si>
    <t>产品碳基线库</t>
  </si>
  <si>
    <t>行业基线录入</t>
  </si>
  <si>
    <t>行业基线录入、分阶段排放基准值维护</t>
  </si>
  <si>
    <t>产品碳标签模板</t>
  </si>
  <si>
    <t>按品类配置碳标签样式、展示字段、二维码规则</t>
  </si>
  <si>
    <t>基础库</t>
  </si>
  <si>
    <t>产品信息管理</t>
  </si>
  <si>
    <t>产品新增、编辑、禁用；维护材质、规格、密度、含水率、标准工艺、适用生命周期边界</t>
  </si>
  <si>
    <t>含碳量检测库</t>
  </si>
  <si>
    <t>提供含碳量检测数据的统一管理功能，可对含碳量检测数据进行新增、编辑、删除、导出及上/下架操作。</t>
  </si>
  <si>
    <t>产品工艺库</t>
  </si>
  <si>
    <t>提供功工艺流程统一管理功能，可对工艺流程进行新增、编辑、删除、导出及上/下架操作。可定义各种类型的工艺流程，包括工艺流程名称、工序。可绑定工序能耗、辅料、损耗默认参数</t>
  </si>
  <si>
    <t>产品品类管理</t>
  </si>
  <si>
    <t>提供产品信息统一管理功能，支持多级分类树，可对产品数据进行新增、编辑、删除、导出及上/下架操作。</t>
  </si>
  <si>
    <t>碳足迹供应商库</t>
  </si>
  <si>
    <t>供应商基本信息录入</t>
  </si>
  <si>
    <t>支持记录供应商的基本信息（如供应商物料与名称），并提供总量指标与分项指标两种方式，用于采集供应链活动的排放因子数据。</t>
  </si>
  <si>
    <t>供应商数据边界录入</t>
  </si>
  <si>
    <t>支持为每条数据设定时间边界、补充文字说明，并可上传相关文件（ 支持png/jpg/jpeg/doc/docx/pdf）作为数据来源或依据，确保数据可追溯、可验证。</t>
  </si>
  <si>
    <t>供应商碳足迹数据存储</t>
  </si>
  <si>
    <t>支持存储上游供应商提供的碳足迹数据，帮助企业持续积累供应链环境数据，并支持在建模过程中直接引用，以提升核算效率与数据一致性。</t>
  </si>
  <si>
    <t>全生命周期碳足迹核算</t>
  </si>
  <si>
    <t>采伐阶段核算</t>
  </si>
  <si>
    <t>采伐基础数据</t>
  </si>
  <si>
    <t>林地信息、采伐量、出材率、集材距离、设备油耗、采伐损耗录入</t>
  </si>
  <si>
    <t>采伐排放计算</t>
  </si>
  <si>
    <t>燃料燃烧排放、电力消耗排放、采伐生物质流失碳核算；按重量 / 材积自动分摊</t>
  </si>
  <si>
    <t>碳固存初步计算</t>
  </si>
  <si>
    <t>竹木原料碳固存初始核算</t>
  </si>
  <si>
    <t>加工阶段核算</t>
  </si>
  <si>
    <t>加工能耗台账</t>
  </si>
  <si>
    <t>电、蒸汽、天然气、水、柴油等消耗数据录入与导入</t>
  </si>
  <si>
    <t>辅料投入管理</t>
  </si>
  <si>
    <t>胶黏剂、油漆、助剂、包装材料等投入量、碳排放系数维护</t>
  </si>
  <si>
    <t>工序碳排放核算</t>
  </si>
  <si>
    <t>按干燥、裁切、砂光、热压、涂装、组装等工序自动核算排放</t>
  </si>
  <si>
    <t>边角料与废品核算</t>
  </si>
  <si>
    <t>边角料回收、废品处置对应的碳排放与碳流失核算</t>
  </si>
  <si>
    <t>运输阶段核算</t>
  </si>
  <si>
    <t>运输台账管理</t>
  </si>
  <si>
    <t>原料运输、成品运输、调拨运输；运输方式、距离、载重、装载率、油耗维护</t>
  </si>
  <si>
    <t>分方式排放计算</t>
  </si>
  <si>
    <t>公路、铁路、水路、航空分类核算；单位周转量排放自动计算</t>
  </si>
  <si>
    <t>装卸与仓储排放</t>
  </si>
  <si>
    <t>装卸能耗、仓储温湿度控制能耗纳入核算</t>
  </si>
  <si>
    <t>使用阶段核算</t>
  </si>
  <si>
    <t>使用场景参数</t>
  </si>
  <si>
    <t>产品设计寿命、维护周期、翻新次数、使用能耗、清洁能耗配置</t>
  </si>
  <si>
    <t>使用阶段排放</t>
  </si>
  <si>
    <t>地板养护、家具使用、包装重复使用等场景全周期累计排放</t>
  </si>
  <si>
    <t>长期碳固存核算</t>
  </si>
  <si>
    <t>竹木产品在使用周期内的碳储存持续核算</t>
  </si>
  <si>
    <t>废弃与循环核算</t>
  </si>
  <si>
    <t>处置方式管理</t>
  </si>
  <si>
    <t>回收、再生、焚烧、填埋、堆肥等比例与参数配置</t>
  </si>
  <si>
    <t>废弃排放核算</t>
  </si>
  <si>
    <t>填埋甲烷排放、焚烧排放、资源化利用减排量核算</t>
  </si>
  <si>
    <t>循环利用减排</t>
  </si>
  <si>
    <t>再生料替代原生料带来的碳减排量化计算</t>
  </si>
  <si>
    <t>核算规则引擎</t>
  </si>
  <si>
    <t>排放因子库</t>
  </si>
  <si>
    <t>内置国标、行标、IPCC、地方及木竹专用排放因子；支持因子版本与溯源</t>
  </si>
  <si>
    <t>核算模型配置</t>
  </si>
  <si>
    <t>支持 GB/T 24064、ISO14067、PAS2050 等标准；支持重量分摊、产值分摊、数量分摊</t>
  </si>
  <si>
    <t>边界与范围配置</t>
  </si>
  <si>
    <t>核算系统边界自定义、阶段取舍配置、忽略项配置</t>
  </si>
  <si>
    <t>一键核算与重算</t>
  </si>
  <si>
    <t>选择产品 / 批次自动拉取全阶段数据，一键生成碳足迹；支持数据修正后重算</t>
  </si>
  <si>
    <t>批次碳追溯管理</t>
  </si>
  <si>
    <t>批次全流程建档</t>
  </si>
  <si>
    <t>原料批次管理</t>
  </si>
  <si>
    <t>采伐批次、采购批次、供应商、林地来源绑定</t>
  </si>
  <si>
    <t>生产批次管理</t>
  </si>
  <si>
    <t>加工计划、生产工单、工序记录、产量、合格率绑定</t>
  </si>
  <si>
    <t>物流批次管理</t>
  </si>
  <si>
    <t>发货批次、运输单号、承运商、路线信息绑定</t>
  </si>
  <si>
    <t>全链路追溯</t>
  </si>
  <si>
    <t>正向追溯</t>
  </si>
  <si>
    <t>从原料采伐→加工→运输→出厂全程追踪</t>
  </si>
  <si>
    <t>反向追溯</t>
  </si>
  <si>
    <t>由成品批次追溯至原料来源、加工工序、运输信息</t>
  </si>
  <si>
    <t>追溯二维码生成</t>
  </si>
  <si>
    <t>每批次生成唯一追溯码，支持扫码查看碳足迹</t>
  </si>
  <si>
    <t>数据质量控制</t>
  </si>
  <si>
    <t>数据自动校验</t>
  </si>
  <si>
    <t>缺失值校验、逻辑校验、阈值校验、合理性校验</t>
  </si>
  <si>
    <t>异常数据预警</t>
  </si>
  <si>
    <t>高排放异常、数据异常、因子异常自动标记与提醒</t>
  </si>
  <si>
    <t>异常数据处理</t>
  </si>
  <si>
    <t>异常备注、修正申请、审核、修正留痕</t>
  </si>
  <si>
    <t>数据分析与优化决策</t>
  </si>
  <si>
    <t>可视化驾驶舱</t>
  </si>
  <si>
    <t>企业碳总览看板</t>
  </si>
  <si>
    <t>总产量、总排放、单位产品排放、阶段排放占比、月度 / 年度趋势</t>
  </si>
  <si>
    <t xml:space="preserve"> 产品碳排放排行</t>
  </si>
  <si>
    <t>产品品类单位碳排放排名、波动分析</t>
  </si>
  <si>
    <t>工序排放热力图</t>
  </si>
  <si>
    <t>各工序碳排放占比、高能耗工序可视化</t>
  </si>
  <si>
    <t>排放诊断分析</t>
  </si>
  <si>
    <t>高排放环节识别</t>
  </si>
  <si>
    <t>自动识别 Top3 高排放阶段 / 工序 / 设备</t>
  </si>
  <si>
    <t>排放波动分析</t>
  </si>
  <si>
    <t>同比、环比、异常波动原因分析</t>
  </si>
  <si>
    <t>碳效率分析</t>
  </si>
  <si>
    <t>单位产值碳排放、单位产品碳排放、碳强度分析</t>
  </si>
  <si>
    <t>减排情景模拟</t>
  </si>
  <si>
    <t>工艺优化模拟</t>
  </si>
  <si>
    <t>调整能耗、辅料、出材率，模拟减排效果</t>
  </si>
  <si>
    <t>物流优化模拟</t>
  </si>
  <si>
    <t>调整运输距离、方式、装载率，模拟减排</t>
  </si>
  <si>
    <t>循环利用模拟</t>
  </si>
  <si>
    <t>提高回收利用率、再生料比例，计算碳减排量</t>
  </si>
  <si>
    <t>统计报表</t>
  </si>
  <si>
    <t>常规统计报表</t>
  </si>
  <si>
    <t>日报、周报、月报、年报自动生成</t>
  </si>
  <si>
    <t>多维度汇总报表</t>
  </si>
  <si>
    <t>按产品、车间、工厂、批次、时间段汇总统计</t>
  </si>
  <si>
    <t>报表批量导出</t>
  </si>
  <si>
    <t>批量导出、定时生成、邮件推送</t>
  </si>
  <si>
    <t>优势分析</t>
  </si>
  <si>
    <t>碳排差异化量化</t>
  </si>
  <si>
    <t>自动对比企业产品实测碳足迹与行业平均水平，通过雷达图或差异系数直观呈现减碳百分比及竞争优势。</t>
  </si>
  <si>
    <t>影响因素与优化潜力</t>
  </si>
  <si>
    <t>原料来源影响</t>
  </si>
  <si>
    <t>原料类型系数</t>
  </si>
  <si>
    <t>维护 FSC / 普通 / 间伐材 / 竹材碳影响系数、碳增益 / 减排比例</t>
  </si>
  <si>
    <t>原料溯源关联</t>
  </si>
  <si>
    <t>产地、林地、培育方式与碳足迹自动关联计算</t>
  </si>
  <si>
    <t>原料对比分析</t>
  </si>
  <si>
    <t>不同原料方案碳减排对比、优选推荐</t>
  </si>
  <si>
    <t>工艺优化参数</t>
  </si>
  <si>
    <t>工艺方案库</t>
  </si>
  <si>
    <t>干燥 / 热压 / 涂饰等升级方案：热泵干燥、水性漆、低能耗工艺</t>
  </si>
  <si>
    <t>减排与成本</t>
  </si>
  <si>
    <t>存储碳排放降低率、投资成本、投资回收周期、年节约成本</t>
  </si>
  <si>
    <t>工艺模拟选型</t>
  </si>
  <si>
    <t>输入现状→自动推荐最优改造方案→计算减排与回本周期</t>
  </si>
  <si>
    <t>区域差异系数</t>
  </si>
  <si>
    <t>区域基础库</t>
  </si>
  <si>
    <t>维护南平及相关核心产区,能源结构： 区分火电/水电/光伏等权重（影响碳足迹及电价成本），物流运输半径以及气候环境差异等多元变量</t>
  </si>
  <si>
    <t>碳修正系数</t>
  </si>
  <si>
    <t>按区域生成电网排放因子、运输系数、能耗修正系数</t>
  </si>
  <si>
    <t>本地化核算</t>
  </si>
  <si>
    <t>自动套用区域系数，提高碳足迹核算精准度</t>
  </si>
  <si>
    <t>优化潜力总览</t>
  </si>
  <si>
    <t>潜力诊断报告</t>
  </si>
  <si>
    <t>原料 / 工艺 / 区域三方面综合优化潜力与优先级</t>
  </si>
  <si>
    <t>专识数据集管理</t>
  </si>
  <si>
    <t>碳核算知识库</t>
  </si>
  <si>
    <t>标准规范库</t>
  </si>
  <si>
    <t>碳足迹相关国家标准、行业标准、指南文件管理与查阅</t>
  </si>
  <si>
    <t>木竹碳专题库</t>
  </si>
  <si>
    <t>竹木碳固存、碳循环、生物质碳排放专题知识</t>
  </si>
  <si>
    <t>典型案例库</t>
  </si>
  <si>
    <t>行业减排案例、核算案例、优化案例展示</t>
  </si>
  <si>
    <t>行业数据集管理</t>
  </si>
  <si>
    <t xml:space="preserve"> 数据集归集</t>
  </si>
  <si>
    <t>产品全生命周期碳排放数据集结构化存储</t>
  </si>
  <si>
    <t>数据集检索</t>
  </si>
  <si>
    <t>按产品类别、阶段、区域、工艺快速检索</t>
  </si>
  <si>
    <t>数据集统计分析</t>
  </si>
  <si>
    <t>数据集均值、中位数、离散度、分布特征分析</t>
  </si>
  <si>
    <t>数据贡献机制</t>
  </si>
  <si>
    <t>企业数据上报</t>
  </si>
  <si>
    <t>支持企业上报碳核算数据</t>
  </si>
  <si>
    <t>数据审核入库</t>
  </si>
  <si>
    <t>管理员审核、清洗、标准化后纳入公共数据集</t>
  </si>
  <si>
    <t>数据集版本管理</t>
  </si>
  <si>
    <t>数据集版本记录、更新日志、历史回溯</t>
  </si>
  <si>
    <t>移动端 H5</t>
  </si>
  <si>
    <t>移动数据采集</t>
  </si>
  <si>
    <t>现场快速填报</t>
  </si>
  <si>
    <t>采伐、运输、加工数据手机快速录入</t>
  </si>
  <si>
    <t>拍照上传识别</t>
  </si>
  <si>
    <t>单据拍照上传、OCR 辅助识别关键数据</t>
  </si>
  <si>
    <t>离线数据缓存</t>
  </si>
  <si>
    <t>无网络时缓存数据，联网后自动同步</t>
  </si>
  <si>
    <t>移动查询追溯</t>
  </si>
  <si>
    <t>扫码追溯</t>
  </si>
  <si>
    <t>扫一扫查看产品碳足迹与全流程信息</t>
  </si>
  <si>
    <t>移动看板</t>
  </si>
  <si>
    <t>碳排放概览、预警信息、待办事项</t>
  </si>
  <si>
    <t>报告查看</t>
  </si>
  <si>
    <t>手机端查看、分享碳报告与证书</t>
  </si>
  <si>
    <t>移动消息</t>
  </si>
  <si>
    <t>消息推送</t>
  </si>
  <si>
    <t>预警、审核、待办消息实时推送</t>
  </si>
  <si>
    <t>数据管控</t>
  </si>
  <si>
    <t>数据脱敏与安全</t>
  </si>
  <si>
    <t>敏感数据脱敏</t>
  </si>
  <si>
    <t>企业机密数据、商业数据自动脱敏</t>
  </si>
  <si>
    <t>水印管理</t>
  </si>
  <si>
    <t>报表、证书、屏幕水印配置</t>
  </si>
  <si>
    <t>数据备份提醒</t>
  </si>
  <si>
    <t>关键数据自动备份提示与记录</t>
  </si>
  <si>
    <t>多组织与多工厂</t>
  </si>
  <si>
    <t>集团化管理</t>
  </si>
  <si>
    <t>支持集团 — 子公司 — 工厂 — 车间多级架构</t>
  </si>
  <si>
    <t>数据隔离</t>
  </si>
  <si>
    <t>不同企业 / 工厂数据相互隔离，独立核算</t>
  </si>
  <si>
    <t>核算辅助工具</t>
  </si>
  <si>
    <t>缺失数据填充</t>
  </si>
  <si>
    <t>基于同类产品均值自动填充缺失核算数据</t>
  </si>
  <si>
    <t>单位自动换算</t>
  </si>
  <si>
    <t>重量、体积、能耗、热量单位自动换算</t>
  </si>
  <si>
    <t>排放因子匹配</t>
  </si>
  <si>
    <t>按产品、能源、区域自动匹配最优排放因子</t>
  </si>
  <si>
    <t>数据台账</t>
  </si>
  <si>
    <t>支持对接数据以结构化台账进行存储，以便数据的溯源核验。</t>
  </si>
  <si>
    <t>三级计量体系</t>
  </si>
  <si>
    <t>设备管理</t>
  </si>
  <si>
    <t>计量器具管理</t>
  </si>
  <si>
    <t>对企业的计量器具进行管理，并将计量器具与物联设备进行关联用于后续排放源消耗量、产品产量等数据的统计。</t>
  </si>
  <si>
    <t>物联设备管理</t>
  </si>
  <si>
    <t>可以查看当前企业的物联设备信息及物联设备监测数据。</t>
  </si>
  <si>
    <t>通信适配</t>
  </si>
  <si>
    <t>开发/集成 Modbus、MQTT 等标准协议，实现电碳表数据解析。</t>
  </si>
  <si>
    <t>设备在线监控</t>
  </si>
  <si>
    <t>监测仪表运行状态，对离线、传输中断进行基础日志告警。</t>
  </si>
  <si>
    <t>集中数据管理中心</t>
  </si>
  <si>
    <t>采集处理</t>
  </si>
  <si>
    <t>实时采集与清洗</t>
  </si>
  <si>
    <t>实现数据定时轮询，自动剔除重复、负值及跳变等脏数据。</t>
  </si>
  <si>
    <t>存储聚合</t>
  </si>
  <si>
    <t>碳数据时序存储</t>
  </si>
  <si>
    <t>利用时序数据库存储历史数据，按小时/日自动计算累计值。</t>
  </si>
  <si>
    <t>核算业务对接系统</t>
  </si>
  <si>
    <t>接口推送</t>
  </si>
  <si>
    <t>碳排放核算接口</t>
  </si>
  <si>
    <t>依据业务需求，为核算模块提供标准化 API（Restful/JSON）。</t>
  </si>
  <si>
    <t>数据匹配</t>
  </si>
  <si>
    <t>产品/工序关联</t>
  </si>
  <si>
    <t>将采集数据与生产工序、产品批次进行逻辑关联与推送。</t>
  </si>
  <si>
    <t>工艺降碳优化分析</t>
  </si>
  <si>
    <t>高碳环节识别</t>
  </si>
  <si>
    <t>排放贡献度分析</t>
  </si>
  <si>
    <t>通过热力图或饼图，自动识别高耗能工序（如热压、碳化环节）。</t>
  </si>
  <si>
    <t>工艺参数关联比对</t>
  </si>
  <si>
    <t>将碳排放强度与生产参数（温度、压力、时长）进行多维关联展示。</t>
  </si>
  <si>
    <t xml:space="preserve"> 降碳模拟建议</t>
  </si>
  <si>
    <t>优化方案辅助规划</t>
  </si>
  <si>
    <t>基于历史基准线，通过算法模拟调整工艺参数后的预期减排效果。</t>
  </si>
  <si>
    <t>接口及数据对接</t>
  </si>
  <si>
    <t>数据接口</t>
  </si>
  <si>
    <t>对外标准接口</t>
  </si>
  <si>
    <t>提供系统对外标准接口协议规范</t>
  </si>
  <si>
    <t>接口安全监控</t>
  </si>
  <si>
    <t>接口 AK/SK 鉴权、IP 白名单、调用频率限制、调用日志记录、异常熔断。</t>
  </si>
  <si>
    <t>接口对接</t>
  </si>
  <si>
    <t>ERP 对接</t>
  </si>
  <si>
    <t>物料、BOM、出入库数据对接</t>
  </si>
  <si>
    <t>MES 对接</t>
  </si>
  <si>
    <t>获取工序报工、产量、设备运行时间、实际能耗数据。</t>
  </si>
  <si>
    <t>合计</t>
  </si>
  <si>
    <t>一期</t>
  </si>
  <si>
    <t>原价：78.4</t>
  </si>
  <si>
    <t>二期</t>
  </si>
  <si>
    <t>原价81.2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</si>
</sst>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6"/>
  <sheetViews>
    <sheetView tabSelected="1" topLeftCell="A70" workbookViewId="0">
      <selection activeCell="E81" sqref="E81"/>
    </sheetView>
  </sheetViews>
  <sheetFormatPr defaultColWidth="8.89423076923077" defaultRowHeight="16.8"/>
  <cols>
    <col min="1" max="1" width="9.875" style="2" customWidth="1"/>
    <col min="2" max="2" width="24.875" style="1" customWidth="1"/>
    <col min="3" max="3" width="20.6634615384615" style="3" customWidth="1"/>
    <col min="4" max="4" width="20.8942307692308" style="3" customWidth="1"/>
    <col min="5" max="5" width="59.75" style="1" customWidth="1"/>
    <col min="6" max="6" width="11.3557692307692" style="1" customWidth="1"/>
    <col min="7" max="7" width="21.0192307692308" style="1" customWidth="1"/>
    <col min="8" max="8" width="18.625" style="1" customWidth="1"/>
    <col min="9" max="16384" width="8.89423076923077" style="1"/>
  </cols>
  <sheetData>
    <row r="1" s="1" customFormat="1" ht="17" spans="1:9">
      <c r="A1" s="4" t="s">
        <v>0</v>
      </c>
      <c r="B1" s="5" t="s">
        <v>1</v>
      </c>
      <c r="C1" s="6" t="s">
        <v>2</v>
      </c>
      <c r="D1" s="6" t="s">
        <v>2</v>
      </c>
      <c r="E1" s="5" t="s">
        <v>3</v>
      </c>
      <c r="F1" s="7" t="s">
        <v>4</v>
      </c>
      <c r="G1" s="7" t="s">
        <v>5</v>
      </c>
      <c r="H1" s="6" t="s">
        <v>6</v>
      </c>
      <c r="I1" s="8" t="s">
        <v>7</v>
      </c>
    </row>
    <row r="2" s="1" customFormat="1" ht="17" spans="1:9">
      <c r="A2" s="4"/>
      <c r="B2" s="9" t="s">
        <v>8</v>
      </c>
      <c r="C2" s="9" t="s">
        <v>9</v>
      </c>
      <c r="D2" s="10" t="s">
        <v>10</v>
      </c>
      <c r="E2" s="11" t="s">
        <v>11</v>
      </c>
      <c r="F2" s="12">
        <v>1</v>
      </c>
      <c r="G2" s="12">
        <v>1.5</v>
      </c>
      <c r="H2" s="13">
        <f t="shared" ref="H2:H65" si="0">F2*G2</f>
        <v>1.5</v>
      </c>
      <c r="I2" s="1">
        <f>SUBTOTAL(9,H2:H10)</f>
        <v>35.25</v>
      </c>
    </row>
    <row r="3" s="1" customFormat="1" ht="17" spans="1:9">
      <c r="A3" s="4"/>
      <c r="B3" s="9"/>
      <c r="C3" s="10"/>
      <c r="D3" s="10" t="s">
        <v>12</v>
      </c>
      <c r="E3" s="11" t="s">
        <v>13</v>
      </c>
      <c r="F3" s="12">
        <v>3</v>
      </c>
      <c r="G3" s="12">
        <v>1.5</v>
      </c>
      <c r="H3" s="13">
        <f t="shared" si="0"/>
        <v>4.5</v>
      </c>
    </row>
    <row r="4" s="1" customFormat="1" ht="17" spans="1:9">
      <c r="A4" s="4"/>
      <c r="B4" s="10"/>
      <c r="C4" s="10" t="s">
        <v>14</v>
      </c>
      <c r="D4" s="10" t="s">
        <v>14</v>
      </c>
      <c r="E4" s="11" t="s">
        <v>15</v>
      </c>
      <c r="F4" s="12">
        <v>3</v>
      </c>
      <c r="G4" s="12">
        <v>1.5</v>
      </c>
      <c r="H4" s="13">
        <f t="shared" si="0"/>
        <v>4.5</v>
      </c>
    </row>
    <row r="5" s="1" customFormat="1" ht="17" spans="1:9">
      <c r="A5" s="4"/>
      <c r="B5" s="14" t="s">
        <v>16</v>
      </c>
      <c r="C5" s="10" t="s">
        <v>17</v>
      </c>
      <c r="D5" s="10" t="s">
        <v>17</v>
      </c>
      <c r="E5" s="10" t="s">
        <v>18</v>
      </c>
      <c r="F5" s="12">
        <v>3</v>
      </c>
      <c r="G5" s="12">
        <v>1.5</v>
      </c>
      <c r="H5" s="13">
        <f t="shared" si="0"/>
        <v>4.5</v>
      </c>
    </row>
    <row r="6" s="1" customFormat="1" ht="17" spans="1:9">
      <c r="A6" s="4"/>
      <c r="B6" s="14"/>
      <c r="C6" s="10" t="s">
        <v>19</v>
      </c>
      <c r="D6" s="10" t="s">
        <v>19</v>
      </c>
      <c r="E6" s="10" t="s">
        <v>20</v>
      </c>
      <c r="F6" s="12">
        <v>3</v>
      </c>
      <c r="G6" s="12">
        <v>1.5</v>
      </c>
      <c r="H6" s="13">
        <f t="shared" si="0"/>
        <v>4.5</v>
      </c>
    </row>
    <row r="7" s="1" customFormat="1" ht="34" spans="1:9">
      <c r="A7" s="4"/>
      <c r="B7" s="9" t="s">
        <v>21</v>
      </c>
      <c r="C7" s="10" t="s">
        <v>22</v>
      </c>
      <c r="D7" s="10" t="s">
        <v>22</v>
      </c>
      <c r="E7" s="11" t="s">
        <v>23</v>
      </c>
      <c r="F7" s="15">
        <v>2.5</v>
      </c>
      <c r="G7" s="12">
        <v>1.5</v>
      </c>
      <c r="H7" s="13">
        <f t="shared" si="0"/>
        <v>3.75</v>
      </c>
    </row>
    <row r="8" s="1" customFormat="1" ht="34" spans="1:9">
      <c r="A8" s="16"/>
      <c r="B8" s="9"/>
      <c r="C8" s="17" t="s">
        <v>24</v>
      </c>
      <c r="D8" s="10" t="s">
        <v>24</v>
      </c>
      <c r="E8" s="11" t="s">
        <v>25</v>
      </c>
      <c r="F8" s="15">
        <v>2.5</v>
      </c>
      <c r="G8" s="12">
        <v>1.5</v>
      </c>
      <c r="H8" s="13">
        <f t="shared" si="0"/>
        <v>3.75</v>
      </c>
    </row>
    <row r="9" s="1" customFormat="1" ht="68" spans="1:9">
      <c r="A9" s="4"/>
      <c r="B9" s="9"/>
      <c r="C9" s="18" t="s">
        <v>26</v>
      </c>
      <c r="D9" s="10" t="s">
        <v>26</v>
      </c>
      <c r="E9" s="11" t="s">
        <v>27</v>
      </c>
      <c r="F9" s="19">
        <v>3</v>
      </c>
      <c r="G9" s="12">
        <v>1.5</v>
      </c>
      <c r="H9" s="20">
        <f t="shared" si="0"/>
        <v>4.5</v>
      </c>
    </row>
    <row r="10" s="1" customFormat="1" ht="34" spans="1:9">
      <c r="A10" s="4"/>
      <c r="B10" s="10"/>
      <c r="C10" s="18" t="s">
        <v>28</v>
      </c>
      <c r="D10" s="18" t="s">
        <v>28</v>
      </c>
      <c r="E10" s="21" t="s">
        <v>29</v>
      </c>
      <c r="F10" s="19">
        <v>2.5</v>
      </c>
      <c r="G10" s="12">
        <v>1.5</v>
      </c>
      <c r="H10" s="20">
        <f t="shared" si="0"/>
        <v>3.75</v>
      </c>
    </row>
    <row r="11" s="1" customFormat="1" ht="51" spans="1:9">
      <c r="A11" s="4"/>
      <c r="B11" s="22" t="s">
        <v>30</v>
      </c>
      <c r="C11" s="22" t="s">
        <v>30</v>
      </c>
      <c r="D11" s="23" t="s">
        <v>31</v>
      </c>
      <c r="E11" s="24" t="s">
        <v>32</v>
      </c>
      <c r="F11" s="25">
        <v>2</v>
      </c>
      <c r="G11" s="12">
        <v>1.5</v>
      </c>
      <c r="H11" s="20">
        <f t="shared" si="0"/>
        <v>3</v>
      </c>
    </row>
    <row r="12" s="1" customFormat="1" ht="51" spans="1:9">
      <c r="A12" s="4"/>
      <c r="B12" s="22"/>
      <c r="C12" s="22"/>
      <c r="D12" s="23" t="s">
        <v>33</v>
      </c>
      <c r="E12" s="24" t="s">
        <v>34</v>
      </c>
      <c r="F12" s="25">
        <v>2</v>
      </c>
      <c r="G12" s="12">
        <v>1.5</v>
      </c>
      <c r="H12" s="20">
        <f t="shared" si="0"/>
        <v>3</v>
      </c>
    </row>
    <row r="13" s="1" customFormat="1" ht="51" spans="1:9">
      <c r="A13" s="4"/>
      <c r="B13" s="26"/>
      <c r="C13" s="26"/>
      <c r="D13" s="23" t="s">
        <v>35</v>
      </c>
      <c r="E13" s="24" t="s">
        <v>36</v>
      </c>
      <c r="F13" s="25">
        <v>2</v>
      </c>
      <c r="G13" s="12">
        <v>1.5</v>
      </c>
      <c r="H13" s="20">
        <f t="shared" si="0"/>
        <v>3</v>
      </c>
    </row>
    <row r="14" s="1" customFormat="1" ht="34" spans="1:9">
      <c r="A14" s="4"/>
      <c r="B14" s="27" t="s">
        <v>37</v>
      </c>
      <c r="C14" s="28" t="s">
        <v>38</v>
      </c>
      <c r="D14" s="29" t="s">
        <v>39</v>
      </c>
      <c r="E14" s="29" t="s">
        <v>40</v>
      </c>
      <c r="F14" s="23">
        <v>2</v>
      </c>
      <c r="G14" s="12">
        <v>1.5</v>
      </c>
      <c r="H14" s="20">
        <f t="shared" si="0"/>
        <v>3</v>
      </c>
      <c r="I14" s="1">
        <f>SUBTOTAL(9,H14:H33)</f>
        <v>86.25</v>
      </c>
    </row>
    <row r="15" s="1" customFormat="1" ht="34" spans="1:9">
      <c r="A15" s="4"/>
      <c r="B15" s="27"/>
      <c r="C15" s="30"/>
      <c r="D15" s="29" t="s">
        <v>41</v>
      </c>
      <c r="E15" s="29" t="s">
        <v>42</v>
      </c>
      <c r="F15" s="23">
        <v>3</v>
      </c>
      <c r="G15" s="12">
        <v>1.5</v>
      </c>
      <c r="H15" s="20">
        <f t="shared" si="0"/>
        <v>4.5</v>
      </c>
    </row>
    <row r="16" s="1" customFormat="1" ht="17" spans="1:9">
      <c r="A16" s="4"/>
      <c r="B16" s="27"/>
      <c r="C16" s="29"/>
      <c r="D16" s="29" t="s">
        <v>43</v>
      </c>
      <c r="E16" s="29" t="s">
        <v>44</v>
      </c>
      <c r="F16" s="23">
        <v>3</v>
      </c>
      <c r="G16" s="12">
        <v>1.5</v>
      </c>
      <c r="H16" s="20">
        <f t="shared" si="0"/>
        <v>4.5</v>
      </c>
    </row>
    <row r="17" s="1" customFormat="1" ht="17" spans="1:8">
      <c r="A17" s="4"/>
      <c r="B17" s="27"/>
      <c r="C17" s="28" t="s">
        <v>45</v>
      </c>
      <c r="D17" s="29" t="s">
        <v>46</v>
      </c>
      <c r="E17" s="29" t="s">
        <v>47</v>
      </c>
      <c r="F17" s="23">
        <v>3</v>
      </c>
      <c r="G17" s="12">
        <v>1.5</v>
      </c>
      <c r="H17" s="20">
        <f t="shared" si="0"/>
        <v>4.5</v>
      </c>
    </row>
    <row r="18" s="1" customFormat="1" ht="17" spans="1:8">
      <c r="A18" s="4"/>
      <c r="B18" s="27"/>
      <c r="C18" s="31"/>
      <c r="D18" s="29" t="s">
        <v>48</v>
      </c>
      <c r="E18" s="29" t="s">
        <v>49</v>
      </c>
      <c r="F18" s="23">
        <v>3</v>
      </c>
      <c r="G18" s="12">
        <v>1.5</v>
      </c>
      <c r="H18" s="20">
        <f t="shared" si="0"/>
        <v>4.5</v>
      </c>
    </row>
    <row r="19" s="1" customFormat="1" ht="17" spans="1:8">
      <c r="A19" s="4"/>
      <c r="B19" s="27"/>
      <c r="C19" s="31"/>
      <c r="D19" s="29" t="s">
        <v>50</v>
      </c>
      <c r="E19" s="29" t="s">
        <v>51</v>
      </c>
      <c r="F19" s="23">
        <v>3.5</v>
      </c>
      <c r="G19" s="12">
        <v>1.5</v>
      </c>
      <c r="H19" s="20">
        <f t="shared" si="0"/>
        <v>5.25</v>
      </c>
    </row>
    <row r="20" s="1" customFormat="1" ht="17" spans="1:8">
      <c r="A20" s="4"/>
      <c r="B20" s="27"/>
      <c r="C20" s="30"/>
      <c r="D20" s="29" t="s">
        <v>52</v>
      </c>
      <c r="E20" s="29" t="s">
        <v>53</v>
      </c>
      <c r="F20" s="23">
        <v>5</v>
      </c>
      <c r="G20" s="12">
        <v>1.5</v>
      </c>
      <c r="H20" s="20">
        <f t="shared" si="0"/>
        <v>7.5</v>
      </c>
    </row>
    <row r="21" s="1" customFormat="1" ht="34" spans="1:8">
      <c r="A21" s="4"/>
      <c r="B21" s="27"/>
      <c r="C21" s="28" t="s">
        <v>54</v>
      </c>
      <c r="D21" s="29" t="s">
        <v>55</v>
      </c>
      <c r="E21" s="29" t="s">
        <v>56</v>
      </c>
      <c r="F21" s="23">
        <v>3</v>
      </c>
      <c r="G21" s="12">
        <v>1.5</v>
      </c>
      <c r="H21" s="20">
        <f t="shared" si="0"/>
        <v>4.5</v>
      </c>
    </row>
    <row r="22" s="1" customFormat="1" ht="17" spans="1:8">
      <c r="A22" s="4"/>
      <c r="B22" s="27"/>
      <c r="C22" s="31"/>
      <c r="D22" s="29" t="s">
        <v>57</v>
      </c>
      <c r="E22" s="29" t="s">
        <v>58</v>
      </c>
      <c r="F22" s="23">
        <v>3</v>
      </c>
      <c r="G22" s="12">
        <v>1.5</v>
      </c>
      <c r="H22" s="20">
        <f t="shared" si="0"/>
        <v>4.5</v>
      </c>
    </row>
    <row r="23" s="1" customFormat="1" ht="17" spans="1:8">
      <c r="A23" s="4"/>
      <c r="B23" s="27"/>
      <c r="C23" s="30"/>
      <c r="D23" s="29" t="s">
        <v>59</v>
      </c>
      <c r="E23" s="29" t="s">
        <v>60</v>
      </c>
      <c r="F23" s="23">
        <v>3</v>
      </c>
      <c r="G23" s="12">
        <v>1.5</v>
      </c>
      <c r="H23" s="20">
        <f t="shared" si="0"/>
        <v>4.5</v>
      </c>
    </row>
    <row r="24" s="1" customFormat="1" ht="34" spans="1:8">
      <c r="A24" s="4"/>
      <c r="B24" s="27"/>
      <c r="C24" s="28" t="s">
        <v>61</v>
      </c>
      <c r="D24" s="29" t="s">
        <v>62</v>
      </c>
      <c r="E24" s="29" t="s">
        <v>63</v>
      </c>
      <c r="F24" s="23">
        <v>2.5</v>
      </c>
      <c r="G24" s="12">
        <v>1.5</v>
      </c>
      <c r="H24" s="20">
        <f t="shared" si="0"/>
        <v>3.75</v>
      </c>
    </row>
    <row r="25" s="1" customFormat="1" ht="17" spans="1:8">
      <c r="A25" s="4"/>
      <c r="B25" s="27"/>
      <c r="C25" s="31"/>
      <c r="D25" s="29" t="s">
        <v>64</v>
      </c>
      <c r="E25" s="29" t="s">
        <v>65</v>
      </c>
      <c r="F25" s="23">
        <v>3</v>
      </c>
      <c r="G25" s="12">
        <v>1.5</v>
      </c>
      <c r="H25" s="20">
        <f t="shared" si="0"/>
        <v>4.5</v>
      </c>
    </row>
    <row r="26" s="1" customFormat="1" ht="17" spans="1:8">
      <c r="A26" s="4"/>
      <c r="B26" s="27"/>
      <c r="C26" s="30"/>
      <c r="D26" s="29" t="s">
        <v>66</v>
      </c>
      <c r="E26" s="29" t="s">
        <v>67</v>
      </c>
      <c r="F26" s="23">
        <v>3</v>
      </c>
      <c r="G26" s="12">
        <v>1.5</v>
      </c>
      <c r="H26" s="20">
        <f t="shared" si="0"/>
        <v>4.5</v>
      </c>
    </row>
    <row r="27" s="1" customFormat="1" ht="17" spans="1:8">
      <c r="A27" s="4"/>
      <c r="B27" s="27"/>
      <c r="C27" s="28" t="s">
        <v>68</v>
      </c>
      <c r="D27" s="29" t="s">
        <v>69</v>
      </c>
      <c r="E27" s="29" t="s">
        <v>70</v>
      </c>
      <c r="F27" s="23">
        <v>2</v>
      </c>
      <c r="G27" s="12">
        <v>1.5</v>
      </c>
      <c r="H27" s="20">
        <f t="shared" si="0"/>
        <v>3</v>
      </c>
    </row>
    <row r="28" s="1" customFormat="1" ht="17" spans="1:8">
      <c r="A28" s="4"/>
      <c r="B28" s="27"/>
      <c r="C28" s="31"/>
      <c r="D28" s="29" t="s">
        <v>71</v>
      </c>
      <c r="E28" s="29" t="s">
        <v>72</v>
      </c>
      <c r="F28" s="23">
        <v>3</v>
      </c>
      <c r="G28" s="12">
        <v>1.5</v>
      </c>
      <c r="H28" s="20">
        <f t="shared" si="0"/>
        <v>4.5</v>
      </c>
    </row>
    <row r="29" s="1" customFormat="1" ht="17" spans="1:8">
      <c r="A29" s="4"/>
      <c r="B29" s="27"/>
      <c r="C29" s="30"/>
      <c r="D29" s="29" t="s">
        <v>73</v>
      </c>
      <c r="E29" s="29" t="s">
        <v>74</v>
      </c>
      <c r="F29" s="23">
        <v>3</v>
      </c>
      <c r="G29" s="12">
        <v>1.5</v>
      </c>
      <c r="H29" s="20">
        <f t="shared" si="0"/>
        <v>4.5</v>
      </c>
    </row>
    <row r="30" s="1" customFormat="1" ht="34" spans="1:8">
      <c r="A30" s="4"/>
      <c r="B30" s="27"/>
      <c r="C30" s="28" t="s">
        <v>75</v>
      </c>
      <c r="D30" s="29" t="s">
        <v>76</v>
      </c>
      <c r="E30" s="29" t="s">
        <v>77</v>
      </c>
      <c r="F30" s="23">
        <v>1.5</v>
      </c>
      <c r="G30" s="12">
        <v>1.5</v>
      </c>
      <c r="H30" s="20">
        <f t="shared" si="0"/>
        <v>2.25</v>
      </c>
    </row>
    <row r="31" s="1" customFormat="1" ht="34" spans="1:8">
      <c r="A31" s="4"/>
      <c r="B31" s="27"/>
      <c r="C31" s="31"/>
      <c r="D31" s="29" t="s">
        <v>78</v>
      </c>
      <c r="E31" s="29" t="s">
        <v>79</v>
      </c>
      <c r="F31" s="23">
        <v>1.5</v>
      </c>
      <c r="G31" s="12">
        <v>1.5</v>
      </c>
      <c r="H31" s="20">
        <f t="shared" si="0"/>
        <v>2.25</v>
      </c>
    </row>
    <row r="32" s="1" customFormat="1" ht="17" spans="1:8">
      <c r="A32" s="4"/>
      <c r="B32" s="27"/>
      <c r="C32" s="31"/>
      <c r="D32" s="29" t="s">
        <v>80</v>
      </c>
      <c r="E32" s="29" t="s">
        <v>81</v>
      </c>
      <c r="F32" s="23">
        <v>3</v>
      </c>
      <c r="G32" s="12">
        <v>1.5</v>
      </c>
      <c r="H32" s="20">
        <f t="shared" si="0"/>
        <v>4.5</v>
      </c>
    </row>
    <row r="33" s="1" customFormat="1" ht="34" spans="1:8">
      <c r="A33" s="4"/>
      <c r="B33" s="27"/>
      <c r="C33" s="30"/>
      <c r="D33" s="29" t="s">
        <v>82</v>
      </c>
      <c r="E33" s="29" t="s">
        <v>83</v>
      </c>
      <c r="F33" s="23">
        <v>3.5</v>
      </c>
      <c r="G33" s="12">
        <v>1.5</v>
      </c>
      <c r="H33" s="20">
        <f t="shared" si="0"/>
        <v>5.25</v>
      </c>
    </row>
    <row r="34" s="1" customFormat="1" ht="17" spans="1:8">
      <c r="A34" s="4"/>
      <c r="B34" s="32" t="s">
        <v>84</v>
      </c>
      <c r="C34" s="32" t="s">
        <v>85</v>
      </c>
      <c r="D34" s="23" t="s">
        <v>86</v>
      </c>
      <c r="E34" s="23" t="s">
        <v>87</v>
      </c>
      <c r="F34" s="23">
        <v>2</v>
      </c>
      <c r="G34" s="12">
        <v>1.5</v>
      </c>
      <c r="H34" s="20">
        <f t="shared" si="0"/>
        <v>3</v>
      </c>
    </row>
    <row r="35" s="1" customFormat="1" ht="17" spans="1:8">
      <c r="A35" s="4"/>
      <c r="B35" s="33"/>
      <c r="C35" s="33"/>
      <c r="D35" s="23" t="s">
        <v>88</v>
      </c>
      <c r="E35" s="23" t="s">
        <v>89</v>
      </c>
      <c r="F35" s="23">
        <v>2</v>
      </c>
      <c r="G35" s="12">
        <v>1.5</v>
      </c>
      <c r="H35" s="20">
        <f t="shared" si="0"/>
        <v>3</v>
      </c>
    </row>
    <row r="36" s="1" customFormat="1" ht="17" spans="1:8">
      <c r="A36" s="4"/>
      <c r="B36" s="33"/>
      <c r="C36" s="34"/>
      <c r="D36" s="23" t="s">
        <v>90</v>
      </c>
      <c r="E36" s="23" t="s">
        <v>91</v>
      </c>
      <c r="F36" s="23">
        <v>2.5</v>
      </c>
      <c r="G36" s="12">
        <v>1.5</v>
      </c>
      <c r="H36" s="20">
        <f t="shared" si="0"/>
        <v>3.75</v>
      </c>
    </row>
    <row r="37" s="1" customFormat="1" ht="17" spans="1:8">
      <c r="A37" s="4"/>
      <c r="B37" s="33"/>
      <c r="C37" s="32" t="s">
        <v>92</v>
      </c>
      <c r="D37" s="23" t="s">
        <v>93</v>
      </c>
      <c r="E37" s="23" t="s">
        <v>94</v>
      </c>
      <c r="F37" s="23">
        <v>2</v>
      </c>
      <c r="G37" s="12">
        <v>1.5</v>
      </c>
      <c r="H37" s="20">
        <f t="shared" si="0"/>
        <v>3</v>
      </c>
    </row>
    <row r="38" s="1" customFormat="1" ht="17" spans="1:8">
      <c r="A38" s="4"/>
      <c r="B38" s="33"/>
      <c r="C38" s="33"/>
      <c r="D38" s="23" t="s">
        <v>95</v>
      </c>
      <c r="E38" s="23" t="s">
        <v>96</v>
      </c>
      <c r="F38" s="23">
        <v>2.5</v>
      </c>
      <c r="G38" s="12">
        <v>1.5</v>
      </c>
      <c r="H38" s="20">
        <f t="shared" si="0"/>
        <v>3.75</v>
      </c>
    </row>
    <row r="39" s="1" customFormat="1" ht="17" spans="1:8">
      <c r="A39" s="4"/>
      <c r="B39" s="33"/>
      <c r="C39" s="34"/>
      <c r="D39" s="23" t="s">
        <v>97</v>
      </c>
      <c r="E39" s="23" t="s">
        <v>98</v>
      </c>
      <c r="F39" s="23">
        <v>2.5</v>
      </c>
      <c r="G39" s="12">
        <v>1.5</v>
      </c>
      <c r="H39" s="20">
        <f t="shared" si="0"/>
        <v>3.75</v>
      </c>
    </row>
    <row r="40" s="1" customFormat="1" ht="17" spans="1:8">
      <c r="A40" s="4"/>
      <c r="B40" s="33"/>
      <c r="C40" s="32" t="s">
        <v>99</v>
      </c>
      <c r="D40" s="23" t="s">
        <v>100</v>
      </c>
      <c r="E40" s="23" t="s">
        <v>101</v>
      </c>
      <c r="F40" s="23">
        <v>2</v>
      </c>
      <c r="G40" s="12">
        <v>1.5</v>
      </c>
      <c r="H40" s="20">
        <f t="shared" si="0"/>
        <v>3</v>
      </c>
    </row>
    <row r="41" s="1" customFormat="1" ht="17" spans="1:8">
      <c r="A41" s="4"/>
      <c r="B41" s="33"/>
      <c r="C41" s="33"/>
      <c r="D41" s="23" t="s">
        <v>102</v>
      </c>
      <c r="E41" s="23" t="s">
        <v>103</v>
      </c>
      <c r="F41" s="23">
        <v>2</v>
      </c>
      <c r="G41" s="12">
        <v>1.5</v>
      </c>
      <c r="H41" s="20">
        <f t="shared" si="0"/>
        <v>3</v>
      </c>
    </row>
    <row r="42" s="1" customFormat="1" ht="17" spans="1:8">
      <c r="A42" s="4"/>
      <c r="B42" s="34"/>
      <c r="C42" s="34"/>
      <c r="D42" s="23" t="s">
        <v>104</v>
      </c>
      <c r="E42" s="23" t="s">
        <v>105</v>
      </c>
      <c r="F42" s="23">
        <v>1.5</v>
      </c>
      <c r="G42" s="12">
        <v>1.5</v>
      </c>
      <c r="H42" s="20">
        <f t="shared" si="0"/>
        <v>2.25</v>
      </c>
    </row>
    <row r="43" s="1" customFormat="1" ht="34" spans="1:8">
      <c r="A43" s="4"/>
      <c r="B43" s="32" t="s">
        <v>106</v>
      </c>
      <c r="C43" s="23" t="s">
        <v>107</v>
      </c>
      <c r="D43" s="23" t="s">
        <v>108</v>
      </c>
      <c r="E43" s="23" t="s">
        <v>109</v>
      </c>
      <c r="F43" s="23">
        <v>2.5</v>
      </c>
      <c r="G43" s="12">
        <v>1.5</v>
      </c>
      <c r="H43" s="20">
        <f t="shared" si="0"/>
        <v>3.75</v>
      </c>
    </row>
    <row r="44" s="1" customFormat="1" ht="17" spans="1:8">
      <c r="A44" s="4"/>
      <c r="B44" s="33"/>
      <c r="C44" s="23"/>
      <c r="D44" s="23" t="s">
        <v>110</v>
      </c>
      <c r="E44" s="23" t="s">
        <v>111</v>
      </c>
      <c r="F44" s="23">
        <v>2</v>
      </c>
      <c r="G44" s="12">
        <v>1.5</v>
      </c>
      <c r="H44" s="20">
        <f t="shared" si="0"/>
        <v>3</v>
      </c>
    </row>
    <row r="45" s="1" customFormat="1" ht="17" spans="1:8">
      <c r="A45" s="4"/>
      <c r="B45" s="33"/>
      <c r="C45" s="23"/>
      <c r="D45" s="23" t="s">
        <v>112</v>
      </c>
      <c r="E45" s="23" t="s">
        <v>113</v>
      </c>
      <c r="F45" s="23">
        <v>3</v>
      </c>
      <c r="G45" s="12">
        <v>1.5</v>
      </c>
      <c r="H45" s="20">
        <f t="shared" si="0"/>
        <v>4.5</v>
      </c>
    </row>
    <row r="46" s="1" customFormat="1" ht="17" spans="1:8">
      <c r="A46" s="4"/>
      <c r="B46" s="33"/>
      <c r="C46" s="23" t="s">
        <v>114</v>
      </c>
      <c r="D46" s="23" t="s">
        <v>115</v>
      </c>
      <c r="E46" s="23" t="s">
        <v>116</v>
      </c>
      <c r="F46" s="23">
        <v>3</v>
      </c>
      <c r="G46" s="12">
        <v>1.5</v>
      </c>
      <c r="H46" s="20">
        <f t="shared" si="0"/>
        <v>4.5</v>
      </c>
    </row>
    <row r="47" s="1" customFormat="1" ht="17" spans="1:8">
      <c r="A47" s="4"/>
      <c r="B47" s="33"/>
      <c r="C47" s="23"/>
      <c r="D47" s="23" t="s">
        <v>117</v>
      </c>
      <c r="E47" s="23" t="s">
        <v>118</v>
      </c>
      <c r="F47" s="23">
        <v>3.5</v>
      </c>
      <c r="G47" s="12">
        <v>1.5</v>
      </c>
      <c r="H47" s="20">
        <f t="shared" si="0"/>
        <v>5.25</v>
      </c>
    </row>
    <row r="48" s="1" customFormat="1" ht="17" spans="1:8">
      <c r="A48" s="4"/>
      <c r="B48" s="33"/>
      <c r="C48" s="23"/>
      <c r="D48" s="23" t="s">
        <v>119</v>
      </c>
      <c r="E48" s="23" t="s">
        <v>120</v>
      </c>
      <c r="F48" s="23">
        <v>3.5</v>
      </c>
      <c r="G48" s="12">
        <v>1.5</v>
      </c>
      <c r="H48" s="20">
        <f t="shared" si="0"/>
        <v>5.25</v>
      </c>
    </row>
    <row r="49" s="1" customFormat="1" ht="17" spans="1:8">
      <c r="A49" s="4"/>
      <c r="B49" s="33"/>
      <c r="C49" s="23" t="s">
        <v>121</v>
      </c>
      <c r="D49" s="23" t="s">
        <v>122</v>
      </c>
      <c r="E49" s="23" t="s">
        <v>123</v>
      </c>
      <c r="F49" s="23">
        <v>3.5</v>
      </c>
      <c r="G49" s="12">
        <v>1.5</v>
      </c>
      <c r="H49" s="20">
        <f t="shared" si="0"/>
        <v>5.25</v>
      </c>
    </row>
    <row r="50" s="1" customFormat="1" ht="17" spans="1:8">
      <c r="A50" s="4"/>
      <c r="B50" s="33"/>
      <c r="C50" s="23"/>
      <c r="D50" s="23" t="s">
        <v>124</v>
      </c>
      <c r="E50" s="23" t="s">
        <v>125</v>
      </c>
      <c r="F50" s="23">
        <v>3.5</v>
      </c>
      <c r="G50" s="12">
        <v>1.5</v>
      </c>
      <c r="H50" s="20">
        <f t="shared" si="0"/>
        <v>5.25</v>
      </c>
    </row>
    <row r="51" s="1" customFormat="1" ht="17" spans="1:8">
      <c r="A51" s="4"/>
      <c r="B51" s="33"/>
      <c r="C51" s="23"/>
      <c r="D51" s="23" t="s">
        <v>126</v>
      </c>
      <c r="E51" s="23" t="s">
        <v>127</v>
      </c>
      <c r="F51" s="23">
        <v>3.5</v>
      </c>
      <c r="G51" s="12">
        <v>1.5</v>
      </c>
      <c r="H51" s="20">
        <f t="shared" si="0"/>
        <v>5.25</v>
      </c>
    </row>
    <row r="52" s="1" customFormat="1" ht="17" spans="1:8">
      <c r="A52" s="4"/>
      <c r="B52" s="33"/>
      <c r="C52" s="23" t="s">
        <v>128</v>
      </c>
      <c r="D52" s="23" t="s">
        <v>129</v>
      </c>
      <c r="E52" s="23" t="s">
        <v>130</v>
      </c>
      <c r="F52" s="23">
        <v>2</v>
      </c>
      <c r="G52" s="12">
        <v>1.5</v>
      </c>
      <c r="H52" s="20">
        <f t="shared" si="0"/>
        <v>3</v>
      </c>
    </row>
    <row r="53" s="1" customFormat="1" ht="17" spans="1:8">
      <c r="A53" s="4"/>
      <c r="B53" s="33"/>
      <c r="C53" s="23"/>
      <c r="D53" s="23" t="s">
        <v>131</v>
      </c>
      <c r="E53" s="23" t="s">
        <v>132</v>
      </c>
      <c r="F53" s="23">
        <v>2.5</v>
      </c>
      <c r="G53" s="12">
        <v>1.5</v>
      </c>
      <c r="H53" s="20">
        <f t="shared" si="0"/>
        <v>3.75</v>
      </c>
    </row>
    <row r="54" s="1" customFormat="1" ht="17" spans="1:8">
      <c r="A54" s="4"/>
      <c r="B54" s="33"/>
      <c r="C54" s="23"/>
      <c r="D54" s="23" t="s">
        <v>133</v>
      </c>
      <c r="E54" s="23" t="s">
        <v>134</v>
      </c>
      <c r="F54" s="23">
        <v>1.5</v>
      </c>
      <c r="G54" s="12">
        <v>1.5</v>
      </c>
      <c r="H54" s="20">
        <f t="shared" si="0"/>
        <v>2.25</v>
      </c>
    </row>
    <row r="55" s="1" customFormat="1" ht="34" spans="1:8">
      <c r="A55" s="4"/>
      <c r="B55" s="33"/>
      <c r="C55" s="23" t="s">
        <v>135</v>
      </c>
      <c r="D55" s="23" t="s">
        <v>136</v>
      </c>
      <c r="E55" s="23" t="s">
        <v>137</v>
      </c>
      <c r="F55" s="23">
        <v>1.5</v>
      </c>
      <c r="G55" s="12">
        <v>1.5</v>
      </c>
      <c r="H55" s="20">
        <f t="shared" si="0"/>
        <v>2.25</v>
      </c>
    </row>
    <row r="56" s="1" customFormat="1" ht="34" spans="1:8">
      <c r="A56" s="4"/>
      <c r="B56" s="32" t="s">
        <v>138</v>
      </c>
      <c r="C56" s="23" t="s">
        <v>139</v>
      </c>
      <c r="D56" s="23" t="s">
        <v>140</v>
      </c>
      <c r="E56" s="23" t="s">
        <v>141</v>
      </c>
      <c r="F56" s="23">
        <v>4</v>
      </c>
      <c r="G56" s="12">
        <v>1.5</v>
      </c>
      <c r="H56" s="20">
        <f t="shared" si="0"/>
        <v>6</v>
      </c>
    </row>
    <row r="57" s="1" customFormat="1" ht="17" spans="1:8">
      <c r="A57" s="4"/>
      <c r="B57" s="33"/>
      <c r="C57" s="23"/>
      <c r="D57" s="23" t="s">
        <v>142</v>
      </c>
      <c r="E57" s="23" t="s">
        <v>143</v>
      </c>
      <c r="F57" s="23">
        <v>4</v>
      </c>
      <c r="G57" s="12">
        <v>1.5</v>
      </c>
      <c r="H57" s="20">
        <f t="shared" si="0"/>
        <v>6</v>
      </c>
    </row>
    <row r="58" s="1" customFormat="1" ht="17" spans="1:8">
      <c r="A58" s="4"/>
      <c r="B58" s="33"/>
      <c r="C58" s="23"/>
      <c r="D58" s="23" t="s">
        <v>144</v>
      </c>
      <c r="E58" s="23" t="s">
        <v>145</v>
      </c>
      <c r="F58" s="23">
        <v>4</v>
      </c>
      <c r="G58" s="12">
        <v>1.5</v>
      </c>
      <c r="H58" s="20">
        <f t="shared" si="0"/>
        <v>6</v>
      </c>
    </row>
    <row r="59" s="1" customFormat="1" ht="34" spans="1:8">
      <c r="A59" s="4"/>
      <c r="B59" s="33"/>
      <c r="C59" s="23" t="s">
        <v>146</v>
      </c>
      <c r="D59" s="23" t="s">
        <v>147</v>
      </c>
      <c r="E59" s="23" t="s">
        <v>148</v>
      </c>
      <c r="F59" s="23">
        <v>4</v>
      </c>
      <c r="G59" s="12">
        <v>1.5</v>
      </c>
      <c r="H59" s="20">
        <f t="shared" si="0"/>
        <v>6</v>
      </c>
    </row>
    <row r="60" s="1" customFormat="1" ht="17" spans="1:8">
      <c r="A60" s="4"/>
      <c r="B60" s="33"/>
      <c r="C60" s="23"/>
      <c r="D60" s="23" t="s">
        <v>149</v>
      </c>
      <c r="E60" s="23" t="s">
        <v>150</v>
      </c>
      <c r="F60" s="23">
        <v>4</v>
      </c>
      <c r="G60" s="12">
        <v>1.5</v>
      </c>
      <c r="H60" s="20">
        <f t="shared" si="0"/>
        <v>6</v>
      </c>
    </row>
    <row r="61" s="1" customFormat="1" ht="17" spans="1:8">
      <c r="A61" s="4"/>
      <c r="B61" s="33"/>
      <c r="C61" s="23"/>
      <c r="D61" s="23" t="s">
        <v>151</v>
      </c>
      <c r="E61" s="23" t="s">
        <v>152</v>
      </c>
      <c r="F61" s="23">
        <v>5</v>
      </c>
      <c r="G61" s="12">
        <v>1.5</v>
      </c>
      <c r="H61" s="20">
        <f t="shared" si="0"/>
        <v>7.5</v>
      </c>
    </row>
    <row r="62" s="1" customFormat="1" ht="51" spans="1:8">
      <c r="A62" s="4"/>
      <c r="B62" s="33"/>
      <c r="C62" s="23" t="s">
        <v>153</v>
      </c>
      <c r="D62" s="23" t="s">
        <v>154</v>
      </c>
      <c r="E62" s="23" t="s">
        <v>155</v>
      </c>
      <c r="F62" s="23">
        <v>5</v>
      </c>
      <c r="G62" s="12">
        <v>1.5</v>
      </c>
      <c r="H62" s="20">
        <f t="shared" si="0"/>
        <v>7.5</v>
      </c>
    </row>
    <row r="63" s="1" customFormat="1" ht="17" spans="1:8">
      <c r="A63" s="4"/>
      <c r="B63" s="33"/>
      <c r="C63" s="23"/>
      <c r="D63" s="23" t="s">
        <v>156</v>
      </c>
      <c r="E63" s="23" t="s">
        <v>157</v>
      </c>
      <c r="F63" s="23">
        <v>3</v>
      </c>
      <c r="G63" s="12">
        <v>1.5</v>
      </c>
      <c r="H63" s="20">
        <f t="shared" si="0"/>
        <v>4.5</v>
      </c>
    </row>
    <row r="64" s="1" customFormat="1" ht="17" spans="1:8">
      <c r="A64" s="4"/>
      <c r="B64" s="33"/>
      <c r="C64" s="23"/>
      <c r="D64" s="23" t="s">
        <v>158</v>
      </c>
      <c r="E64" s="23" t="s">
        <v>159</v>
      </c>
      <c r="F64" s="23">
        <v>3</v>
      </c>
      <c r="G64" s="12">
        <v>1.5</v>
      </c>
      <c r="H64" s="20">
        <f t="shared" si="0"/>
        <v>4.5</v>
      </c>
    </row>
    <row r="65" s="1" customFormat="1" ht="17" spans="1:9">
      <c r="A65" s="4"/>
      <c r="B65" s="33"/>
      <c r="C65" s="23" t="s">
        <v>160</v>
      </c>
      <c r="D65" s="23" t="s">
        <v>161</v>
      </c>
      <c r="E65" s="23" t="s">
        <v>162</v>
      </c>
      <c r="F65" s="23">
        <v>3.5</v>
      </c>
      <c r="G65" s="12">
        <v>1.5</v>
      </c>
      <c r="H65" s="20">
        <f t="shared" si="0"/>
        <v>5.25</v>
      </c>
    </row>
    <row r="66" s="1" customFormat="1" ht="17" spans="1:9">
      <c r="A66" s="4"/>
      <c r="B66" s="28" t="s">
        <v>163</v>
      </c>
      <c r="C66" s="29" t="s">
        <v>164</v>
      </c>
      <c r="D66" s="29" t="s">
        <v>165</v>
      </c>
      <c r="E66" s="29" t="s">
        <v>166</v>
      </c>
      <c r="F66" s="23">
        <v>5</v>
      </c>
      <c r="G66" s="12">
        <v>1.5</v>
      </c>
      <c r="H66" s="20">
        <f t="shared" ref="H66:H105" si="1">F66*G66</f>
        <v>7.5</v>
      </c>
      <c r="I66" s="1">
        <f>SUBTOTAL(9,H66:H74)</f>
        <v>45.75</v>
      </c>
    </row>
    <row r="67" s="1" customFormat="1" ht="17" spans="1:9">
      <c r="A67" s="4"/>
      <c r="B67" s="31"/>
      <c r="C67" s="29"/>
      <c r="D67" s="29" t="s">
        <v>167</v>
      </c>
      <c r="E67" s="29" t="s">
        <v>168</v>
      </c>
      <c r="F67" s="23">
        <v>5</v>
      </c>
      <c r="G67" s="12">
        <v>1.5</v>
      </c>
      <c r="H67" s="20">
        <f t="shared" si="1"/>
        <v>7.5</v>
      </c>
    </row>
    <row r="68" s="1" customFormat="1" ht="17" spans="1:9">
      <c r="A68" s="4"/>
      <c r="B68" s="31"/>
      <c r="C68" s="29"/>
      <c r="D68" s="29" t="s">
        <v>169</v>
      </c>
      <c r="E68" s="29" t="s">
        <v>170</v>
      </c>
      <c r="F68" s="23">
        <v>5</v>
      </c>
      <c r="G68" s="12">
        <v>1.5</v>
      </c>
      <c r="H68" s="20">
        <f t="shared" si="1"/>
        <v>7.5</v>
      </c>
    </row>
    <row r="69" s="1" customFormat="1" ht="17" spans="1:9">
      <c r="A69" s="4"/>
      <c r="B69" s="31"/>
      <c r="C69" s="29" t="s">
        <v>171</v>
      </c>
      <c r="D69" s="29" t="s">
        <v>172</v>
      </c>
      <c r="E69" s="29" t="s">
        <v>173</v>
      </c>
      <c r="F69" s="23">
        <v>3</v>
      </c>
      <c r="G69" s="12">
        <v>1.5</v>
      </c>
      <c r="H69" s="20">
        <f t="shared" si="1"/>
        <v>4.5</v>
      </c>
    </row>
    <row r="70" s="1" customFormat="1" ht="17" spans="1:9">
      <c r="A70" s="4"/>
      <c r="B70" s="31"/>
      <c r="C70" s="29"/>
      <c r="D70" s="29" t="s">
        <v>174</v>
      </c>
      <c r="E70" s="29" t="s">
        <v>175</v>
      </c>
      <c r="F70" s="23">
        <v>2.5</v>
      </c>
      <c r="G70" s="12">
        <v>1.5</v>
      </c>
      <c r="H70" s="20">
        <f t="shared" si="1"/>
        <v>3.75</v>
      </c>
    </row>
    <row r="71" s="1" customFormat="1" ht="17" spans="1:9">
      <c r="A71" s="4"/>
      <c r="B71" s="31"/>
      <c r="C71" s="29"/>
      <c r="D71" s="29" t="s">
        <v>176</v>
      </c>
      <c r="E71" s="29" t="s">
        <v>177</v>
      </c>
      <c r="F71" s="23">
        <v>2.5</v>
      </c>
      <c r="G71" s="12">
        <v>1.5</v>
      </c>
      <c r="H71" s="20">
        <f t="shared" si="1"/>
        <v>3.75</v>
      </c>
    </row>
    <row r="72" s="1" customFormat="1" ht="17" spans="1:9">
      <c r="A72" s="4"/>
      <c r="B72" s="31"/>
      <c r="C72" s="29" t="s">
        <v>178</v>
      </c>
      <c r="D72" s="29" t="s">
        <v>179</v>
      </c>
      <c r="E72" s="29" t="s">
        <v>180</v>
      </c>
      <c r="F72" s="23">
        <v>2</v>
      </c>
      <c r="G72" s="12">
        <v>1.5</v>
      </c>
      <c r="H72" s="20">
        <f t="shared" si="1"/>
        <v>3</v>
      </c>
    </row>
    <row r="73" s="1" customFormat="1" ht="17" spans="1:9">
      <c r="A73" s="4"/>
      <c r="B73" s="31"/>
      <c r="C73" s="29"/>
      <c r="D73" s="29" t="s">
        <v>181</v>
      </c>
      <c r="E73" s="29" t="s">
        <v>182</v>
      </c>
      <c r="F73" s="23">
        <v>3</v>
      </c>
      <c r="G73" s="12">
        <v>1.5</v>
      </c>
      <c r="H73" s="20">
        <f t="shared" si="1"/>
        <v>4.5</v>
      </c>
    </row>
    <row r="74" s="1" customFormat="1" ht="17" spans="1:9">
      <c r="A74" s="4"/>
      <c r="B74" s="30"/>
      <c r="C74" s="29"/>
      <c r="D74" s="29" t="s">
        <v>183</v>
      </c>
      <c r="E74" s="29" t="s">
        <v>184</v>
      </c>
      <c r="F74" s="23">
        <v>2.5</v>
      </c>
      <c r="G74" s="12">
        <v>1.5</v>
      </c>
      <c r="H74" s="20">
        <f t="shared" si="1"/>
        <v>3.75</v>
      </c>
    </row>
    <row r="75" s="1" customFormat="1" ht="17" spans="1:9">
      <c r="A75" s="4"/>
      <c r="B75" s="32" t="s">
        <v>185</v>
      </c>
      <c r="C75" s="23" t="s">
        <v>186</v>
      </c>
      <c r="D75" s="23" t="s">
        <v>187</v>
      </c>
      <c r="E75" s="23" t="s">
        <v>188</v>
      </c>
      <c r="F75" s="23">
        <v>2</v>
      </c>
      <c r="G75" s="12">
        <v>1.5</v>
      </c>
      <c r="H75" s="20">
        <f t="shared" si="1"/>
        <v>3</v>
      </c>
    </row>
    <row r="76" s="1" customFormat="1" ht="17" spans="1:9">
      <c r="A76" s="4"/>
      <c r="B76" s="33"/>
      <c r="C76" s="23"/>
      <c r="D76" s="23" t="s">
        <v>189</v>
      </c>
      <c r="E76" s="23" t="s">
        <v>190</v>
      </c>
      <c r="F76" s="23">
        <v>3</v>
      </c>
      <c r="G76" s="12">
        <v>1.5</v>
      </c>
      <c r="H76" s="20">
        <f t="shared" si="1"/>
        <v>4.5</v>
      </c>
    </row>
    <row r="77" s="1" customFormat="1" ht="17" spans="1:9">
      <c r="A77" s="4"/>
      <c r="B77" s="33"/>
      <c r="C77" s="23"/>
      <c r="D77" s="23" t="s">
        <v>191</v>
      </c>
      <c r="E77" s="23" t="s">
        <v>192</v>
      </c>
      <c r="F77" s="23">
        <v>2.5</v>
      </c>
      <c r="G77" s="12">
        <v>1.5</v>
      </c>
      <c r="H77" s="20">
        <f t="shared" si="1"/>
        <v>3.75</v>
      </c>
    </row>
    <row r="78" s="1" customFormat="1" ht="17" spans="1:9">
      <c r="A78" s="4"/>
      <c r="B78" s="33"/>
      <c r="C78" s="23" t="s">
        <v>193</v>
      </c>
      <c r="D78" s="23" t="s">
        <v>194</v>
      </c>
      <c r="E78" s="23" t="s">
        <v>195</v>
      </c>
      <c r="F78" s="23">
        <v>2</v>
      </c>
      <c r="G78" s="12">
        <v>1.5</v>
      </c>
      <c r="H78" s="20">
        <f t="shared" si="1"/>
        <v>3</v>
      </c>
    </row>
    <row r="79" s="1" customFormat="1" ht="17" spans="1:9">
      <c r="A79" s="4"/>
      <c r="B79" s="33"/>
      <c r="C79" s="23"/>
      <c r="D79" s="23" t="s">
        <v>196</v>
      </c>
      <c r="E79" s="23" t="s">
        <v>197</v>
      </c>
      <c r="F79" s="23">
        <v>3</v>
      </c>
      <c r="G79" s="12">
        <v>1.5</v>
      </c>
      <c r="H79" s="20">
        <f t="shared" si="1"/>
        <v>4.5</v>
      </c>
    </row>
    <row r="80" s="1" customFormat="1" ht="17" spans="1:9">
      <c r="A80" s="4"/>
      <c r="B80" s="33"/>
      <c r="C80" s="23"/>
      <c r="D80" s="23" t="s">
        <v>198</v>
      </c>
      <c r="E80" s="23" t="s">
        <v>199</v>
      </c>
      <c r="F80" s="23">
        <v>1</v>
      </c>
      <c r="G80" s="12">
        <v>1.5</v>
      </c>
      <c r="H80" s="20">
        <f t="shared" si="1"/>
        <v>1.5</v>
      </c>
    </row>
    <row r="81" s="1" customFormat="1" ht="17" spans="1:8">
      <c r="A81" s="4"/>
      <c r="B81" s="34"/>
      <c r="C81" s="23" t="s">
        <v>200</v>
      </c>
      <c r="D81" s="23" t="s">
        <v>201</v>
      </c>
      <c r="E81" s="23" t="s">
        <v>202</v>
      </c>
      <c r="F81" s="23">
        <v>1</v>
      </c>
      <c r="G81" s="12">
        <v>1.5</v>
      </c>
      <c r="H81" s="20">
        <f t="shared" si="1"/>
        <v>1.5</v>
      </c>
    </row>
    <row r="82" s="1" customFormat="1" ht="17" spans="1:8">
      <c r="A82" s="4"/>
      <c r="B82" s="35" t="s">
        <v>203</v>
      </c>
      <c r="C82" s="32" t="s">
        <v>204</v>
      </c>
      <c r="D82" s="23" t="s">
        <v>205</v>
      </c>
      <c r="E82" s="23" t="s">
        <v>206</v>
      </c>
      <c r="F82" s="23">
        <v>2</v>
      </c>
      <c r="G82" s="12">
        <v>1.5</v>
      </c>
      <c r="H82" s="20">
        <f t="shared" si="1"/>
        <v>3</v>
      </c>
    </row>
    <row r="83" s="1" customFormat="1" ht="17" spans="1:8">
      <c r="A83" s="4"/>
      <c r="B83" s="22"/>
      <c r="C83" s="33"/>
      <c r="D83" s="23" t="s">
        <v>207</v>
      </c>
      <c r="E83" s="23" t="s">
        <v>208</v>
      </c>
      <c r="F83" s="23">
        <v>2</v>
      </c>
      <c r="G83" s="12">
        <v>1.5</v>
      </c>
      <c r="H83" s="20">
        <f t="shared" si="1"/>
        <v>3</v>
      </c>
    </row>
    <row r="84" s="1" customFormat="1" ht="17" spans="1:8">
      <c r="A84" s="4"/>
      <c r="B84" s="22"/>
      <c r="C84" s="34"/>
      <c r="D84" s="23" t="s">
        <v>209</v>
      </c>
      <c r="E84" s="23" t="s">
        <v>210</v>
      </c>
      <c r="F84" s="23">
        <v>1</v>
      </c>
      <c r="G84" s="12">
        <v>1.5</v>
      </c>
      <c r="H84" s="20">
        <f t="shared" si="1"/>
        <v>1.5</v>
      </c>
    </row>
    <row r="85" s="1" customFormat="1" ht="17" spans="1:8">
      <c r="A85" s="4"/>
      <c r="B85" s="22"/>
      <c r="C85" s="23" t="s">
        <v>211</v>
      </c>
      <c r="D85" s="23" t="s">
        <v>212</v>
      </c>
      <c r="E85" s="23" t="s">
        <v>213</v>
      </c>
      <c r="F85" s="23">
        <v>1.5</v>
      </c>
      <c r="G85" s="12">
        <v>1.5</v>
      </c>
      <c r="H85" s="20">
        <f t="shared" si="1"/>
        <v>2.25</v>
      </c>
    </row>
    <row r="86" s="1" customFormat="1" ht="17" spans="1:8">
      <c r="A86" s="4"/>
      <c r="B86" s="22"/>
      <c r="C86" s="23"/>
      <c r="D86" s="23" t="s">
        <v>214</v>
      </c>
      <c r="E86" s="23" t="s">
        <v>215</v>
      </c>
      <c r="F86" s="23">
        <v>2.5</v>
      </c>
      <c r="G86" s="12">
        <v>1.5</v>
      </c>
      <c r="H86" s="20">
        <f t="shared" si="1"/>
        <v>3.75</v>
      </c>
    </row>
    <row r="87" s="1" customFormat="1" ht="17" spans="1:8">
      <c r="A87" s="4"/>
      <c r="B87" s="22"/>
      <c r="C87" s="32" t="s">
        <v>216</v>
      </c>
      <c r="D87" s="23" t="s">
        <v>217</v>
      </c>
      <c r="E87" s="23" t="s">
        <v>218</v>
      </c>
      <c r="F87" s="23">
        <v>2</v>
      </c>
      <c r="G87" s="12">
        <v>1.5</v>
      </c>
      <c r="H87" s="20">
        <f t="shared" si="1"/>
        <v>3</v>
      </c>
    </row>
    <row r="88" s="1" customFormat="1" ht="17" spans="1:8">
      <c r="A88" s="4"/>
      <c r="B88" s="22"/>
      <c r="C88" s="33"/>
      <c r="D88" s="23" t="s">
        <v>219</v>
      </c>
      <c r="E88" s="23" t="s">
        <v>220</v>
      </c>
      <c r="F88" s="23">
        <v>2</v>
      </c>
      <c r="G88" s="12">
        <v>1.5</v>
      </c>
      <c r="H88" s="20">
        <f t="shared" si="1"/>
        <v>3</v>
      </c>
    </row>
    <row r="89" s="1" customFormat="1" ht="15" customHeight="1" spans="1:8">
      <c r="A89" s="4"/>
      <c r="B89" s="22"/>
      <c r="C89" s="34"/>
      <c r="D89" s="23" t="s">
        <v>221</v>
      </c>
      <c r="E89" s="23" t="s">
        <v>222</v>
      </c>
      <c r="F89" s="23">
        <v>3</v>
      </c>
      <c r="G89" s="12">
        <v>1.5</v>
      </c>
      <c r="H89" s="20">
        <f t="shared" si="1"/>
        <v>4.5</v>
      </c>
    </row>
    <row r="90" s="1" customFormat="1" ht="17.6" spans="1:8">
      <c r="A90" s="4"/>
      <c r="B90" s="26"/>
      <c r="C90" s="23" t="s">
        <v>223</v>
      </c>
      <c r="D90" s="23" t="s">
        <v>223</v>
      </c>
      <c r="E90" s="23" t="s">
        <v>224</v>
      </c>
      <c r="F90" s="25">
        <v>2</v>
      </c>
      <c r="G90" s="12">
        <v>1.5</v>
      </c>
      <c r="H90" s="20">
        <f t="shared" si="1"/>
        <v>3</v>
      </c>
    </row>
    <row r="91" s="1" customFormat="1" ht="34" spans="1:8">
      <c r="A91" s="4"/>
      <c r="B91" s="32" t="s">
        <v>225</v>
      </c>
      <c r="C91" s="32" t="s">
        <v>226</v>
      </c>
      <c r="D91" s="23" t="s">
        <v>227</v>
      </c>
      <c r="E91" s="23" t="s">
        <v>228</v>
      </c>
      <c r="F91" s="25">
        <v>2</v>
      </c>
      <c r="G91" s="12">
        <v>1.5</v>
      </c>
      <c r="H91" s="20">
        <f t="shared" si="1"/>
        <v>3</v>
      </c>
    </row>
    <row r="92" s="1" customFormat="1" ht="17.6" spans="1:8">
      <c r="A92" s="4"/>
      <c r="B92" s="33"/>
      <c r="C92" s="33"/>
      <c r="D92" s="23" t="s">
        <v>229</v>
      </c>
      <c r="E92" s="23" t="s">
        <v>230</v>
      </c>
      <c r="F92" s="25">
        <v>2</v>
      </c>
      <c r="G92" s="12">
        <v>1.5</v>
      </c>
      <c r="H92" s="20">
        <f t="shared" si="1"/>
        <v>3</v>
      </c>
    </row>
    <row r="93" s="1" customFormat="1" ht="34" spans="1:8">
      <c r="A93" s="4"/>
      <c r="B93" s="33"/>
      <c r="C93" s="33"/>
      <c r="D93" s="23" t="s">
        <v>231</v>
      </c>
      <c r="E93" s="23" t="s">
        <v>232</v>
      </c>
      <c r="F93" s="25">
        <v>3</v>
      </c>
      <c r="G93" s="12">
        <v>1.5</v>
      </c>
      <c r="H93" s="20">
        <f t="shared" si="1"/>
        <v>4.5</v>
      </c>
    </row>
    <row r="94" s="1" customFormat="1" ht="17" spans="1:8">
      <c r="A94" s="4"/>
      <c r="B94" s="33"/>
      <c r="C94" s="34"/>
      <c r="D94" s="23" t="s">
        <v>233</v>
      </c>
      <c r="E94" s="23" t="s">
        <v>234</v>
      </c>
      <c r="F94" s="23">
        <v>2</v>
      </c>
      <c r="G94" s="12">
        <v>1.5</v>
      </c>
      <c r="H94" s="20">
        <f t="shared" si="1"/>
        <v>3</v>
      </c>
    </row>
    <row r="95" s="1" customFormat="1" ht="17" spans="1:8">
      <c r="A95" s="4"/>
      <c r="B95" s="23" t="s">
        <v>235</v>
      </c>
      <c r="C95" s="23" t="s">
        <v>236</v>
      </c>
      <c r="D95" s="23" t="s">
        <v>237</v>
      </c>
      <c r="E95" s="23" t="s">
        <v>238</v>
      </c>
      <c r="F95" s="23">
        <v>3</v>
      </c>
      <c r="G95" s="12">
        <v>1.5</v>
      </c>
      <c r="H95" s="20">
        <f t="shared" si="1"/>
        <v>4.5</v>
      </c>
    </row>
    <row r="96" s="1" customFormat="1" ht="17" spans="1:8">
      <c r="A96" s="4"/>
      <c r="B96" s="23"/>
      <c r="C96" s="23" t="s">
        <v>239</v>
      </c>
      <c r="D96" s="23" t="s">
        <v>240</v>
      </c>
      <c r="E96" s="23" t="s">
        <v>241</v>
      </c>
      <c r="F96" s="23">
        <v>1.5</v>
      </c>
      <c r="G96" s="12">
        <v>1.5</v>
      </c>
      <c r="H96" s="20">
        <f t="shared" si="1"/>
        <v>2.25</v>
      </c>
    </row>
    <row r="97" s="1" customFormat="1" ht="34" spans="1:9">
      <c r="A97" s="4"/>
      <c r="B97" s="28" t="s">
        <v>242</v>
      </c>
      <c r="C97" s="29" t="s">
        <v>243</v>
      </c>
      <c r="D97" s="29" t="s">
        <v>244</v>
      </c>
      <c r="E97" s="29" t="s">
        <v>245</v>
      </c>
      <c r="F97" s="23">
        <v>4</v>
      </c>
      <c r="G97" s="12">
        <v>1.5</v>
      </c>
      <c r="H97" s="20">
        <f t="shared" si="1"/>
        <v>6</v>
      </c>
      <c r="I97" s="1">
        <f>H97+H98</f>
        <v>12</v>
      </c>
    </row>
    <row r="98" s="1" customFormat="1" ht="17" spans="1:9">
      <c r="A98" s="4"/>
      <c r="B98" s="30"/>
      <c r="C98" s="29" t="s">
        <v>246</v>
      </c>
      <c r="D98" s="29" t="s">
        <v>247</v>
      </c>
      <c r="E98" s="29" t="s">
        <v>248</v>
      </c>
      <c r="F98" s="23">
        <v>4</v>
      </c>
      <c r="G98" s="12">
        <v>1.5</v>
      </c>
      <c r="H98" s="20">
        <f t="shared" si="1"/>
        <v>6</v>
      </c>
    </row>
    <row r="99" s="1" customFormat="1" ht="34" spans="1:9">
      <c r="A99" s="4"/>
      <c r="B99" s="32" t="s">
        <v>249</v>
      </c>
      <c r="C99" s="32" t="s">
        <v>250</v>
      </c>
      <c r="D99" s="23" t="s">
        <v>251</v>
      </c>
      <c r="E99" s="23" t="s">
        <v>252</v>
      </c>
      <c r="F99" s="23">
        <v>4.5</v>
      </c>
      <c r="G99" s="12">
        <v>1.5</v>
      </c>
      <c r="H99" s="20">
        <f t="shared" si="1"/>
        <v>6.75</v>
      </c>
    </row>
    <row r="100" s="1" customFormat="1" ht="34" spans="1:9">
      <c r="A100" s="4"/>
      <c r="B100" s="33"/>
      <c r="C100" s="34"/>
      <c r="D100" s="23" t="s">
        <v>253</v>
      </c>
      <c r="E100" s="23" t="s">
        <v>254</v>
      </c>
      <c r="F100" s="23">
        <v>4.5</v>
      </c>
      <c r="G100" s="12">
        <v>1.5</v>
      </c>
      <c r="H100" s="20">
        <f t="shared" si="1"/>
        <v>6.75</v>
      </c>
    </row>
    <row r="101" s="1" customFormat="1" ht="34" spans="1:9">
      <c r="A101" s="4"/>
      <c r="B101" s="34"/>
      <c r="C101" s="23" t="s">
        <v>255</v>
      </c>
      <c r="D101" s="23" t="s">
        <v>256</v>
      </c>
      <c r="E101" s="23" t="s">
        <v>257</v>
      </c>
      <c r="F101" s="23">
        <v>5</v>
      </c>
      <c r="G101" s="12">
        <v>1.5</v>
      </c>
      <c r="H101" s="20">
        <f t="shared" si="1"/>
        <v>7.5</v>
      </c>
    </row>
    <row r="102" s="1" customFormat="1" ht="17.6" spans="1:9">
      <c r="A102" s="4"/>
      <c r="B102" s="32" t="s">
        <v>258</v>
      </c>
      <c r="C102" s="32" t="s">
        <v>259</v>
      </c>
      <c r="D102" s="23" t="s">
        <v>260</v>
      </c>
      <c r="E102" s="23" t="s">
        <v>261</v>
      </c>
      <c r="F102" s="25">
        <v>4.5</v>
      </c>
      <c r="G102" s="12">
        <v>1.5</v>
      </c>
      <c r="H102" s="20">
        <f t="shared" si="1"/>
        <v>6.75</v>
      </c>
    </row>
    <row r="103" s="1" customFormat="1" ht="34" spans="1:9">
      <c r="A103" s="4"/>
      <c r="B103" s="33"/>
      <c r="C103" s="34"/>
      <c r="D103" s="23" t="s">
        <v>262</v>
      </c>
      <c r="E103" s="23" t="s">
        <v>263</v>
      </c>
      <c r="F103" s="25">
        <v>2</v>
      </c>
      <c r="G103" s="12">
        <v>1.5</v>
      </c>
      <c r="H103" s="20">
        <f t="shared" si="1"/>
        <v>3</v>
      </c>
    </row>
    <row r="104" s="1" customFormat="1" ht="17.6" spans="1:9">
      <c r="A104" s="4"/>
      <c r="B104" s="33"/>
      <c r="C104" s="32" t="s">
        <v>264</v>
      </c>
      <c r="D104" s="23" t="s">
        <v>265</v>
      </c>
      <c r="E104" s="23" t="s">
        <v>266</v>
      </c>
      <c r="F104" s="25">
        <v>3</v>
      </c>
      <c r="G104" s="12">
        <v>1.5</v>
      </c>
      <c r="H104" s="20">
        <f t="shared" si="1"/>
        <v>4.5</v>
      </c>
    </row>
    <row r="105" s="1" customFormat="1" ht="17.6" spans="1:9">
      <c r="A105" s="4"/>
      <c r="B105" s="34"/>
      <c r="C105" s="34"/>
      <c r="D105" s="23" t="s">
        <v>267</v>
      </c>
      <c r="E105" s="23" t="s">
        <v>268</v>
      </c>
      <c r="F105" s="25">
        <v>3</v>
      </c>
      <c r="G105" s="12">
        <v>1.5</v>
      </c>
      <c r="H105" s="20">
        <f t="shared" si="1"/>
        <v>4.5</v>
      </c>
    </row>
    <row r="106" s="1" customFormat="1" ht="17.6" spans="1:9">
      <c r="A106" s="4"/>
      <c r="B106" s="34"/>
      <c r="C106" s="23"/>
      <c r="D106" s="23"/>
      <c r="E106" s="23"/>
      <c r="F106" s="25"/>
      <c r="G106" s="19"/>
      <c r="H106" s="20"/>
    </row>
    <row r="107" s="1" customFormat="1" ht="17.6" spans="1:9">
      <c r="A107" s="4"/>
      <c r="B107" s="34"/>
      <c r="C107" s="23"/>
      <c r="D107" s="23"/>
      <c r="E107" s="23"/>
      <c r="F107" s="25"/>
      <c r="G107" s="19"/>
      <c r="H107" s="20"/>
    </row>
    <row r="108" s="1" customFormat="1" ht="17.6" spans="1:9">
      <c r="A108" s="4"/>
      <c r="B108" s="34"/>
      <c r="C108" s="23"/>
      <c r="D108" s="23"/>
      <c r="E108" s="23"/>
      <c r="F108" s="25"/>
      <c r="G108" s="19"/>
      <c r="H108" s="20"/>
    </row>
    <row r="109" s="1" customFormat="1" ht="17.6" spans="1:9">
      <c r="A109" s="4"/>
      <c r="B109" s="34"/>
      <c r="C109" s="23"/>
      <c r="D109" s="23"/>
      <c r="E109" s="23"/>
      <c r="F109" s="25"/>
      <c r="G109" s="19"/>
      <c r="H109" s="20"/>
    </row>
    <row r="110" s="1" customFormat="1" ht="17.6" spans="1:9">
      <c r="A110" s="4"/>
      <c r="B110" s="34"/>
      <c r="C110" s="23"/>
      <c r="D110" s="23"/>
      <c r="E110" s="23"/>
      <c r="F110" s="25"/>
      <c r="G110" s="19"/>
      <c r="H110" s="20"/>
    </row>
    <row r="111" s="1" customFormat="1" ht="17.6" spans="1:9">
      <c r="A111" s="4"/>
      <c r="B111" s="34"/>
      <c r="C111" s="23"/>
      <c r="D111" s="23"/>
      <c r="E111" s="23"/>
      <c r="F111" s="25"/>
      <c r="G111" s="19"/>
      <c r="H111" s="20"/>
    </row>
    <row r="112" s="1" customFormat="1" spans="1:9">
      <c r="A112" s="4"/>
      <c r="B112" s="36"/>
      <c r="C112" s="37"/>
      <c r="D112" s="37"/>
      <c r="E112" s="36"/>
      <c r="F112" s="36"/>
      <c r="G112" s="36"/>
      <c r="H112" s="36"/>
    </row>
    <row r="113" s="1" customFormat="1" ht="17.6" spans="1:9">
      <c r="A113" s="4"/>
      <c r="B113" s="23"/>
      <c r="C113" s="23"/>
      <c r="D113" s="23"/>
      <c r="E113" s="23"/>
      <c r="F113" s="25"/>
      <c r="G113" s="19"/>
      <c r="H113" s="20"/>
    </row>
    <row r="114" s="1" customFormat="1" ht="17" spans="1:9">
      <c r="A114" s="4"/>
      <c r="B114" s="4"/>
      <c r="C114" s="20" t="s">
        <v>269</v>
      </c>
      <c r="D114" s="20"/>
      <c r="E114" s="4"/>
      <c r="F114" s="38"/>
      <c r="G114" s="38"/>
      <c r="H114" s="20">
        <f>SUBTOTAL(9,H2:H105)</f>
        <v>438</v>
      </c>
    </row>
    <row r="115" s="1" customFormat="1" spans="1:9">
      <c r="A115" s="2"/>
      <c r="C115" s="3"/>
      <c r="D115" s="3"/>
      <c r="G115" s="1" t="s">
        <v>270</v>
      </c>
      <c r="H115" s="1">
        <f>I97+I66+I14+I2</f>
        <v>179.25</v>
      </c>
      <c r="I115" s="1" t="s">
        <v>271</v>
      </c>
    </row>
    <row r="116" s="1" customFormat="1" spans="1:9">
      <c r="A116" s="2"/>
      <c r="C116" s="3"/>
      <c r="D116" s="3"/>
      <c r="G116" s="1" t="s">
        <v>272</v>
      </c>
      <c r="H116" s="1">
        <f>H114-H115</f>
        <v>258.75</v>
      </c>
      <c r="I116" s="1" t="s">
        <v>273</v>
      </c>
    </row>
  </sheetData>
  <mergeCells count="32">
    <mergeCell ref="B2:B4"/>
    <mergeCell ref="B5:B6"/>
    <mergeCell ref="B7:B10"/>
    <mergeCell ref="B11:B13"/>
    <mergeCell ref="B14:B33"/>
    <mergeCell ref="B34:B42"/>
    <mergeCell ref="B43:B55"/>
    <mergeCell ref="B56:B65"/>
    <mergeCell ref="B66:B74"/>
    <mergeCell ref="B75:B81"/>
    <mergeCell ref="B82:B90"/>
    <mergeCell ref="B91:B94"/>
    <mergeCell ref="B97:B98"/>
    <mergeCell ref="B99:B101"/>
    <mergeCell ref="B102:B105"/>
    <mergeCell ref="C2:C3"/>
    <mergeCell ref="C11:C13"/>
    <mergeCell ref="C14:C15"/>
    <mergeCell ref="C17:C20"/>
    <mergeCell ref="C21:C23"/>
    <mergeCell ref="C24:C26"/>
    <mergeCell ref="C27:C29"/>
    <mergeCell ref="C30:C33"/>
    <mergeCell ref="C34:C36"/>
    <mergeCell ref="C37:C39"/>
    <mergeCell ref="C40:C42"/>
    <mergeCell ref="C82:C84"/>
    <mergeCell ref="C87:C89"/>
    <mergeCell ref="C91:C94"/>
    <mergeCell ref="C99:C100"/>
    <mergeCell ref="C102:C103"/>
    <mergeCell ref="C104:C10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</dc:creator>
  <cp:lastModifiedBy>开心就好</cp:lastModifiedBy>
  <dcterms:created xsi:type="dcterms:W3CDTF">2026-06-25T14:15:15Z</dcterms:created>
  <dcterms:modified xsi:type="dcterms:W3CDTF">2026-06-26T17:29:14Z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5BEC172F8058BA9C73C73C6A89B7EEDF_41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